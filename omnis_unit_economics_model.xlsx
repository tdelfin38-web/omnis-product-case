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5dc0285f8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атко" sheetId="1" r:id="R337908f976fb469c"/>
    <x:sheet xmlns:r="http://schemas.openxmlformats.org/officeDocument/2006/relationships" name="Допущения" sheetId="2" r:id="R3906171d22704795"/>
    <x:sheet xmlns:r="http://schemas.openxmlformats.org/officeDocument/2006/relationships" name="Модель" sheetId="3" r:id="R3ba66331fd5847ef"/>
    <x:sheet xmlns:r="http://schemas.openxmlformats.org/officeDocument/2006/relationships" name="Источники" sheetId="4" r:id="R6bfdf450b97b4724"/>
  </x:sheets>
</x:workbook>
</file>

<file path=xl/comments1.xml><?xml version="1.0" encoding="utf-8"?>
<x:comments xmlns:x="http://schemas.openxmlformats.org/spreadsheetml/2006/main">
  <x:authors>
    <x:author>tc={99DC6F54-D1BC-1200-B51E-298958D4E5A1}</x:author>
    <x:author>tc={20423012-FDFE-E95E-C1D6-5C93D89E101C}</x:author>
    <x:author>tc={B5EED4D5-D60C-64DC-7C09-C300565BFE66}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Дипломная работа Тищенко.pptx, slide 30. Base-case starting GMV is used only as an educational scenario input.</x:t>
        </x:r>
      </x:text>
    </x:comment>
    <x:comment ref="C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Дипломная работа.csv. The diploma assignment specifies 10% order growth from year 2 onward.</x:t>
        </x:r>
      </x:text>
    </x:comment>
    <x:comment ref="C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Дипломная работа.csv. The diploma assignment specifies 5% average-order-value growth from year 2 onward.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A61B1B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sz val="10"/>
      <x:color rgb="FFA61B1B"/>
      <x:name val="Aptos"/>
    </x:font>
    <x:font>
      <x:b/>
      <x:sz val="16"/>
      <x:color rgb="FFFFFFFF"/>
      <x:name val="Aptos"/>
    </x:font>
    <x:font>
      <x:b/>
      <x:sz val="15"/>
      <x:color rgb="FFFFFFFF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6F4F1"/>
      </x:patternFill>
    </x:fill>
    <x:fill>
      <x:patternFill patternType="solid">
        <x:fgColor rgb="FF2C7A7B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7C9C7"/>
      </x:left>
      <x:top style="thin">
        <x:color rgb="FFB7C9C7"/>
      </x:top>
    </x:border>
    <x:border>
      <x:right style="thin">
        <x:color rgb="FFB7C9C7"/>
      </x:right>
      <x:top style="thin">
        <x:color rgb="FFB7C9C7"/>
      </x:top>
    </x:border>
    <x:border>
      <x:left style="thin">
        <x:color rgb="FFB7C9C7"/>
      </x:left>
    </x:border>
    <x:border>
      <x:right style="thin">
        <x:color rgb="FFB7C9C7"/>
      </x:right>
    </x:border>
    <x:border>
      <x:left style="thin">
        <x:color rgb="FFB7C9C7"/>
      </x:left>
      <x:bottom style="thin">
        <x:color rgb="FFB7C9C7"/>
      </x:bottom>
    </x:border>
    <x:border>
      <x:right style="thin">
        <x:color rgb="FFB7C9C7"/>
      </x:right>
      <x:bottom style="thin">
        <x:color rgb="FFB7C9C7"/>
      </x:bottom>
    </x:border>
    <x:border>
      <x:top style="thin">
        <x:color rgb="FFB7C9C7"/>
      </x:top>
    </x:border>
    <x:border>
      <x:bottom style="thin">
        <x:color rgb="FFB7C9C7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7" fillId="3" borderId="1" xfId="0" applyNumberFormat="1" applyFont="1" applyFill="1" applyBorder="1"/>
    <x:xf numFmtId="0" fontId="6" fillId="0" borderId="7" xfId="0" applyNumberFormat="1" applyFont="1" applyFill="1" applyBorder="1"/>
    <x:xf numFmtId="200" fontId="6" fillId="0" borderId="2" xfId="0" applyNumberFormat="1" applyFont="1" applyFill="1" applyBorder="1"/>
    <x:xf numFmtId="0" fontId="7" fillId="3" borderId="3" xfId="0" applyNumberFormat="1" applyFont="1" applyFill="1" applyBorder="1"/>
    <x:xf numFmtId="200" fontId="6" fillId="0" borderId="4" xfId="0" applyNumberFormat="1" applyFont="1" applyFill="1" applyBorder="1"/>
    <x:xf numFmtId="0" fontId="7" fillId="3" borderId="5" xfId="0" applyNumberFormat="1" applyFont="1" applyFill="1" applyBorder="1"/>
    <x:xf numFmtId="0" fontId="6" fillId="0" borderId="8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2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12" fillId="5" borderId="4" xfId="0" applyNumberFormat="1" applyFont="1" applyFill="1" applyBorder="1" applyAlignment="1">
      <x:alignment horizontal="right"/>
    </x:xf>
    <x:xf numFmtId="0" fontId="12" fillId="5" borderId="8" xfId="0" applyNumberFormat="1" applyFont="1" applyFill="1" applyBorder="1" applyAlignment="1">
      <x:alignment horizontal="right"/>
    </x:xf>
    <x:xf numFmtId="0" fontId="12" fillId="5" borderId="6" xfId="0" applyNumberFormat="1" applyFont="1" applyFill="1" applyBorder="1" applyAlignment="1">
      <x:alignment horizontal="right"/>
    </x:xf>
    <x:xf numFmtId="200" fontId="12" fillId="5" borderId="0" xfId="0" applyNumberFormat="1" applyFont="1" applyFill="1" applyBorder="1" applyAlignment="1">
      <x:alignment horizontal="right"/>
    </x:xf>
    <x:xf numFmtId="200" fontId="12" fillId="5" borderId="4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 applyAlignment="1">
      <x:alignment horizontal="right"/>
    </x:xf>
    <x:xf numFmtId="201" fontId="12" fillId="5" borderId="4" xfId="0" applyNumberFormat="1" applyFont="1" applyFill="1" applyBorder="1" applyAlignment="1">
      <x:alignment horizontal="right"/>
    </x:xf>
    <x:xf numFmtId="201" fontId="12" fillId="5" borderId="8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202" fontId="0" fillId="0" borderId="0" xfId="0" applyNumberFormat="1" applyFont="1" applyFill="1" applyBorder="1"/>
    <x:xf numFmtId="202" fontId="0" fillId="0" borderId="4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4" xfId="0" applyNumberFormat="1" applyFont="1" applyFill="1" applyBorder="1"/>
    <x:xf numFmtId="201" fontId="0" fillId="0" borderId="0" xfId="0" applyNumberFormat="1" applyFont="1" applyFill="1" applyBorder="1"/>
    <x:xf numFmtId="201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3" borderId="1" xfId="0" applyNumberFormat="1" applyFont="1" applyFill="1" applyBorder="1"/>
    <x:xf numFmtId="0" fontId="6" fillId="3" borderId="7" xfId="0" applyNumberFormat="1" applyFont="1" applyFill="1" applyBorder="1"/>
    <x:xf numFmtId="0" fontId="6" fillId="3" borderId="2" xfId="0" applyNumberFormat="1" applyFont="1" applyFill="1" applyBorder="1"/>
    <x:xf numFmtId="0" fontId="7" fillId="3" borderId="7" xfId="0" applyNumberFormat="1" applyFont="1" applyFill="1" applyBorder="1"/>
    <x:xf numFmtId="0" fontId="7" fillId="3" borderId="2" xfId="0" applyNumberFormat="1" applyFont="1" applyFill="1" applyBorder="1"/>
    <x:xf numFmtId="200" fontId="6" fillId="0" borderId="0" xfId="0" applyNumberFormat="1" applyFont="1" applyFill="1" applyBorder="1"/>
    <x:xf numFmtId="200" fontId="6" fillId="0" borderId="8" xfId="0" applyNumberFormat="1" applyFont="1" applyFill="1" applyBorder="1"/>
    <x:xf numFmtId="200" fontId="6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a3ae2ef194691" /><Relationship Type="http://schemas.openxmlformats.org/officeDocument/2006/relationships/theme" Target="/xl/theme/theme1.xml" Id="R7bd9f872957d42c8" /><Relationship Type="http://schemas.openxmlformats.org/officeDocument/2006/relationships/sharedStrings" Target="/xl/sharedStrings.xml" Id="R35af9c0b9c144223" /><Relationship Type="http://schemas.openxmlformats.org/officeDocument/2006/relationships/worksheet" Target="/xl/worksheets/sheet1.xml" Id="R337908f976fb469c" /><Relationship Type="http://schemas.openxmlformats.org/officeDocument/2006/relationships/worksheet" Target="/xl/worksheets/sheet2.xml" Id="R3906171d22704795" /><Relationship Type="http://schemas.openxmlformats.org/officeDocument/2006/relationships/worksheet" Target="/xl/worksheets/sheet3.xml" Id="R3ba66331fd5847ef" /><Relationship Type="http://schemas.openxmlformats.org/officeDocument/2006/relationships/worksheet" Target="/xl/worksheets/sheet4.xml" Id="R6bfdf450b97b4724" /><Relationship Type="http://schemas.microsoft.com/office/2017/10/relationships/person" Target="/xl/persons/person.xml" Id="R271f7fe5eb7a40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6c356f1b354c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Динамика базового сценария</a:t>
            </a:r>
          </a:p>
        </c:rich>
      </c:tx>
    </c:title>
    <c:plotArea>
      <c:lineChart>
        <c:grouping val="standard"/>
        <c:ser>
          <c:idx val="0"/>
          <c:order val="0"/>
          <c:tx>
            <c:v>GMV, млн ₽</c:v>
          </c:tx>
          <c:marker>
            <c:symbol val="none"/>
          </c:marker>
          <c:cat>
            <c:strRef>
              <c:f>'Кратко'!$E$12:$E$14</c:f>
              <c:strCache>
                <c:ptCount val="0"/>
              </c:strCache>
            </c:strRef>
          </c:cat>
          <c:val>
            <c:numRef>
              <c:f>'Кратко'!$F$12:$F$14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Выручка, млн ₽</c:v>
          </c:tx>
          <c:marker>
            <c:symbol val="none"/>
          </c:marker>
          <c:cat>
            <c:strRef>
              <c:f>'Кратко'!$E$12:$E$14</c:f>
              <c:strCache>
                <c:ptCount val="0"/>
              </c:strCache>
            </c:strRef>
          </c:cat>
          <c:val>
            <c:numRef>
              <c:f>'Кратко'!$G$12:$G$14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EBITDA, млн ₽</c:v>
          </c:tx>
          <c:marker>
            <c:symbol val="none"/>
          </c:marker>
          <c:cat>
            <c:strRef>
              <c:f>'Кратко'!$E$12:$E$14</c:f>
              <c:strCache>
                <c:ptCount val="0"/>
              </c:strCache>
            </c:strRef>
          </c:cat>
          <c:val>
            <c:numRef>
              <c:f>'Кратко'!$H$12:$H$14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6c356f1b354ce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Андрей Тищенко" id="{DFA4C8CB-86F1-4524-A1D2-D37940698E5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7" dT="2026-07-26T13:11:42.747" personId="{DFA4C8CB-86F1-4524-A1D2-D37940698E5B}" id="{99DC6F54-D1BC-1200-B51E-298958D4E5A1}">
    <xltc:text>Source: Дипломная работа Тищенко.pptx, slide 30. Base-case starting GMV is used only as an educational scenario input.</xltc:text>
  </xltc:threadedComment>
  <xltc:threadedComment ref="C9" dT="2026-07-26T13:11:42.751" personId="{DFA4C8CB-86F1-4524-A1D2-D37940698E5B}" id="{20423012-FDFE-E95E-C1D6-5C93D89E101C}">
    <xltc:text>Source: Дипломная работа.csv. The diploma assignment specifies 10% order growth from year 2 onward.</xltc:text>
  </xltc:threadedComment>
  <xltc:threadedComment ref="C10" dT="2026-07-26T13:11:42.751" personId="{DFA4C8CB-86F1-4524-A1D2-D37940698E5B}" id="{B5EED4D5-D60C-64DC-7C09-C300565BFE66}">
    <xltc:text>Source: Дипломная работа.csv. The diploma assignment specifies 5% average-order-value growth from year 2 onward.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d660008c44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ab5c09071c54a4e" /><Relationship Type="http://schemas.openxmlformats.org/officeDocument/2006/relationships/vmlDrawing" Target="/xl/drawings/vmldrawing.vml" Id="R7eaa7e55849146ad" /><Relationship Type="http://schemas.microsoft.com/office/2017/10/relationships/threadedComment" Target="/xl/threadedcomments/threadedcomment.xml" Id="R144ea644e2a64d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53" t="str">
        <x:v>Omnis — учебная юнит-экономика доставки рецептурных препаратов</x:v>
      </x:c>
      <x:c r="B1" s="36"/>
      <x:c r="C1" s="36"/>
      <x:c r="D1" s="36"/>
      <x:c r="E1" s="36"/>
      <x:c r="F1" s="36"/>
      <x:c r="G1" s="36"/>
      <x:c r="H1" s="36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38" t="str">
        <x:v>Назначение</x:v>
      </x:c>
      <x:c r="B3" s="39" t="str">
        <x:v>Прозрачная модель для дипломного pet-проекта: GMV, выручка, переменные затраты, фиксированные затраты и EBITDA на 3 года.</x:v>
      </x:c>
      <x:c r="C3" s="37"/>
      <x:c r="D3" s="37"/>
      <x:c r="E3" s="37"/>
      <x:c r="F3" s="37"/>
      <x:c r="G3" s="37"/>
      <x:c r="H3" s="37"/>
    </x:row>
    <x:row r="4">
      <x:c r="A4" s="40" t="str">
        <x:v>Сценарий</x:v>
      </x:c>
      <x:c r="B4" s="41" t="str">
        <x:v>Выберите 1 — консервативный, 2 — базовый, 3 — оптимистичный на листе «Допущения».</x:v>
      </x:c>
      <x:c r="C4" s="37"/>
      <x:c r="D4" s="37"/>
      <x:c r="E4" s="37"/>
      <x:c r="F4" s="37"/>
      <x:c r="G4" s="37"/>
      <x:c r="H4" s="37"/>
    </x:row>
    <x:row r="5">
      <x:c r="A5" s="40" t="str">
        <x:v>Период</x:v>
      </x:c>
      <x:c r="B5" s="41" t="str">
        <x:v>2026E–2028E</x:v>
      </x:c>
      <x:c r="C5" s="37"/>
      <x:c r="D5" s="37"/>
      <x:c r="E5" s="37"/>
      <x:c r="F5" s="37"/>
      <x:c r="G5" s="37"/>
      <x:c r="H5" s="37"/>
    </x:row>
    <x:row r="6">
      <x:c r="A6" s="40" t="str">
        <x:v>Валюта</x:v>
      </x:c>
      <x:c r="B6" s="41" t="str">
        <x:v>рубли, без НДС; суммы на листе «Модель» показаны в млн ₽.</x:v>
      </x:c>
      <x:c r="C6" s="37"/>
      <x:c r="D6" s="37"/>
      <x:c r="E6" s="37"/>
      <x:c r="F6" s="37"/>
      <x:c r="G6" s="37"/>
      <x:c r="H6" s="37"/>
    </x:row>
    <x:row r="7">
      <x:c r="A7" s="40" t="str">
        <x:v>Статус данных</x:v>
      </x:c>
      <x:c r="B7" s="41" t="str">
        <x:v>Учебная модель. Допущения не являются прогнозом реальной компании.</x:v>
      </x:c>
      <x:c r="C7" s="37"/>
      <x:c r="D7" s="37"/>
      <x:c r="E7" s="37"/>
      <x:c r="F7" s="37"/>
      <x:c r="G7" s="37"/>
      <x:c r="H7" s="37"/>
    </x:row>
    <x:row r="8">
      <x:c r="A8" s="42" t="str">
        <x:v>Регуляторный риск</x:v>
      </x:c>
      <x:c r="B8" s="43" t="str">
        <x:v>Дистанционная торговля рецептурными препаратами в РФ ограничена. Модель описывает пилот в разрешённом режиме, а не немедленный федеральный запуск.</x:v>
      </x:c>
      <x:c r="C8" s="37"/>
      <x:c r="D8" s="37"/>
      <x:c r="E8" s="37"/>
      <x:c r="F8" s="37"/>
      <x:c r="G8" s="37"/>
      <x:c r="H8" s="37"/>
    </x:row>
    <x:row r="9">
      <x:c r="A9" s="37"/>
      <x:c r="B9" s="37"/>
      <x:c r="C9" s="37"/>
      <x:c r="D9" s="37"/>
      <x:c r="E9" s="37"/>
      <x:c r="F9" s="37"/>
      <x:c r="G9" s="37"/>
      <x:c r="H9" s="37"/>
    </x:row>
    <x:row r="10">
      <x:c r="A10" s="44" t="str">
        <x:v>Ключевые выводы из базового сценария</x:v>
      </x:c>
      <x:c r="B10" s="44"/>
      <x:c r="C10" s="44"/>
      <x:c r="D10" s="44"/>
      <x:c r="E10" s="44"/>
      <x:c r="F10" s="44"/>
      <x:c r="G10" s="44"/>
      <x:c r="H10" s="44"/>
    </x:row>
    <x:row r="11">
      <x:c r="A11" s="45" t="str">
        <x:v>GMV, 2026E (млн ₽)</x:v>
      </x:c>
      <x:c r="B11" s="46"/>
      <x:c r="C11" s="47" t="n">
        <x:f>'Модель'!B9</x:f>
        <x:v>3000</x:v>
      </x:c>
      <x:c r="D11" s="37"/>
      <x:c r="E11" s="45" t="str">
        <x:v>Год</x:v>
      </x:c>
      <x:c r="F11" s="102" t="str">
        <x:v>GMV, млн ₽</x:v>
      </x:c>
      <x:c r="G11" s="102" t="str">
        <x:v>Выручка, млн ₽</x:v>
      </x:c>
      <x:c r="H11" s="103" t="str">
        <x:v>EBITDA, млн ₽</x:v>
      </x:c>
    </x:row>
    <x:row r="12">
      <x:c r="A12" s="48" t="str">
        <x:v>Выручка, 2026E (млн ₽)</x:v>
      </x:c>
      <x:c r="B12" s="37"/>
      <x:c r="C12" s="49" t="n">
        <x:f>'Модель'!B14/1000000</x:f>
        <x:v>715.7142857142858</x:v>
      </x:c>
      <x:c r="D12" s="37"/>
      <x:c r="E12" s="95" t="str">
        <x:v>2026E</x:v>
      </x:c>
      <x:c r="F12" s="104" t="n">
        <x:f>'Модель'!B9</x:f>
        <x:v>3000</x:v>
      </x:c>
      <x:c r="G12" s="104" t="n">
        <x:f>'Модель'!B14/1000000</x:f>
        <x:v>715.7142857142858</x:v>
      </x:c>
      <x:c r="H12" s="49" t="n">
        <x:f>'Модель'!B22</x:f>
        <x:v>114.28571428571426</x:v>
      </x:c>
    </x:row>
    <x:row r="13">
      <x:c r="A13" s="48" t="str">
        <x:v>EBITDA, 2026E (млн ₽)</x:v>
      </x:c>
      <x:c r="B13" s="37"/>
      <x:c r="C13" s="49" t="n">
        <x:f>'Модель'!B22</x:f>
        <x:v>114.28571428571426</x:v>
      </x:c>
      <x:c r="D13" s="37"/>
      <x:c r="E13" s="95" t="str">
        <x:v>2027E</x:v>
      </x:c>
      <x:c r="F13" s="104" t="n">
        <x:f>'Модель'!C9</x:f>
        <x:v>3465.0000000000005</x:v>
      </x:c>
      <x:c r="G13" s="104" t="n">
        <x:f>'Модель'!C14/1000000</x:f>
        <x:v>807.0857142857144</x:v>
      </x:c>
      <x:c r="H13" s="49" t="n">
        <x:f>'Модель'!C22</x:f>
        <x:v>151.11428571428578</x:v>
      </x:c>
    </x:row>
    <x:row r="14">
      <x:c r="A14" s="48" t="str">
        <x:v>EBITDA, 2028E (млн ₽)</x:v>
      </x:c>
      <x:c r="B14" s="37"/>
      <x:c r="C14" s="49" t="n">
        <x:f>'Модель'!D22</x:f>
        <x:v>195.14271428571433</x:v>
      </x:c>
      <x:c r="D14" s="37"/>
      <x:c r="E14" s="97" t="str">
        <x:v>2028E</x:v>
      </x:c>
      <x:c r="F14" s="105" t="n">
        <x:f>'Модель'!D9</x:f>
        <x:v>4002.0750000000003</x:v>
      </x:c>
      <x:c r="G14" s="105" t="n">
        <x:f>'Модель'!D14/1000000</x:f>
        <x:v>910.6632857142858</x:v>
      </x:c>
      <x:c r="H14" s="106" t="n">
        <x:f>'Модель'!D22</x:f>
        <x:v>195.14271428571433</x:v>
      </x:c>
    </x:row>
    <x:row r="15">
      <x:c r="A15" s="50" t="str">
        <x:v>Ограничение применимости</x:v>
      </x:c>
      <x:c r="B15" s="51"/>
      <x:c r="C15" s="52" t="str">
        <x:v>Регуляторная возможность — обязательный критерий до запуска.</x:v>
      </x:c>
      <x:c r="D15" s="37"/>
      <x:c r="E15" s="37"/>
      <x:c r="F15" s="37"/>
      <x:c r="G15" s="37"/>
      <x:c r="H15" s="37"/>
    </x:row>
    <x:row r="16">
      <x:c r="A16" s="37"/>
      <x:c r="B16" s="37"/>
      <x:c r="C16" s="37"/>
      <x:c r="D16" s="37"/>
      <x:c r="E16" s="37"/>
      <x:c r="F16" s="37"/>
      <x:c r="G16" s="37"/>
      <x:c r="H16" s="37"/>
    </x:row>
    <x:row r="17">
      <x:c r="A17" s="37"/>
      <x:c r="B17" s="37"/>
      <x:c r="C17" s="37"/>
      <x:c r="D17" s="37"/>
      <x:c r="E17" s="37"/>
      <x:c r="F17" s="37"/>
      <x:c r="G17" s="37"/>
      <x:c r="H17" s="37"/>
    </x:row>
    <x:row r="18">
      <x:c r="A18" s="37"/>
      <x:c r="B18" s="37"/>
      <x:c r="C18" s="37"/>
      <x:c r="D18" s="37"/>
      <x:c r="E18" s="37"/>
      <x:c r="F18" s="37"/>
      <x:c r="G18" s="37"/>
      <x:c r="H18" s="3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37"/>
      <x:c r="B20" s="37"/>
      <x:c r="C20" s="37"/>
      <x:c r="D20" s="37"/>
      <x:c r="E20" s="37"/>
      <x:c r="F20" s="37"/>
      <x:c r="G20" s="37"/>
      <x:c r="H20" s="37"/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69d660008c444b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1" hidden="0" customWidth="1"/>
    <x:col min="3" max="3" width="21" hidden="0" customWidth="1"/>
    <x:col min="4" max="4" width="21" hidden="0" customWidth="1"/>
  </x:cols>
  <x:sheetData>
    <x:row r="1">
      <x:c r="A1" s="55" t="str">
        <x:v>Допущения и сценарии</x:v>
      </x:c>
      <x:c r="B1" s="55"/>
      <x:c r="C1" s="55"/>
      <x:c r="D1" s="55"/>
    </x:row>
    <x:row r="3">
      <x:c r="A3" s="29" t="str">
        <x:v>Выбранный сценарий (1/2/3)</x:v>
      </x:c>
      <x:c r="B3" s="58" t="n">
        <x:v>2</x:v>
      </x:c>
    </x:row>
    <x:row r="4">
      <x:c r="A4" s="31" t="str">
        <x:v>Расшифровка</x:v>
      </x:c>
      <x:c r="B4" s="25" t="str">
        <x:v>2 = базовый</x:v>
      </x:c>
    </x:row>
    <x:row r="6">
      <x:c r="A6" s="62" t="str">
        <x:v>Параметр</x:v>
      </x:c>
      <x:c r="B6" s="63" t="str">
        <x:v>Консервативный</x:v>
      </x:c>
      <x:c r="C6" s="63" t="str">
        <x:v>Базовый</x:v>
      </x:c>
      <x:c r="D6" s="64" t="str">
        <x:v>Оптимистичный</x:v>
      </x:c>
    </x:row>
    <x:row r="7">
      <x:c r="A7" s="11" t="str">
        <x:v>GMV, год 1 (₽)</x:v>
      </x:c>
      <x:c r="B7" s="68" t="n">
        <x:v>1500000000</x:v>
      </x:c>
      <x:c r="C7" s="68" t="n">
        <x:v>3000000000</x:v>
      </x:c>
      <x:c r="D7" s="69" t="n">
        <x:v>4500000000</x:v>
      </x:c>
    </x:row>
    <x:row r="8">
      <x:c r="A8" s="11" t="str">
        <x:v>Средний чек, год 1 (₽)</x:v>
      </x:c>
      <x:c r="B8" s="68" t="n">
        <x:v>1850</x:v>
      </x:c>
      <x:c r="C8" s="68" t="n">
        <x:v>2100</x:v>
      </x:c>
      <x:c r="D8" s="69" t="n">
        <x:v>2300</x:v>
      </x:c>
    </x:row>
    <x:row r="9">
      <x:c r="A9" s="11" t="str">
        <x:v>Рост числа заказов со 2-го года</x:v>
      </x:c>
      <x:c r="B9" s="70" t="n">
        <x:v>0.07</x:v>
      </x:c>
      <x:c r="C9" s="70" t="n">
        <x:v>0.1</x:v>
      </x:c>
      <x:c r="D9" s="71" t="n">
        <x:v>0.15</x:v>
      </x:c>
    </x:row>
    <x:row r="10">
      <x:c r="A10" s="11" t="str">
        <x:v>Рост среднего чека со 2-го года</x:v>
      </x:c>
      <x:c r="B10" s="70" t="n">
        <x:v>0.02</x:v>
      </x:c>
      <x:c r="C10" s="70" t="n">
        <x:v>0.05</x:v>
      </x:c>
      <x:c r="D10" s="71" t="n">
        <x:v>0.07</x:v>
      </x:c>
    </x:row>
    <x:row r="11">
      <x:c r="A11" s="11" t="str">
        <x:v>Комиссия с аптеки от GMV</x:v>
      </x:c>
      <x:c r="B11" s="70" t="n">
        <x:v>0.1</x:v>
      </x:c>
      <x:c r="C11" s="70" t="n">
        <x:v>0.12</x:v>
      </x:c>
      <x:c r="D11" s="71" t="n">
        <x:v>0.14</x:v>
      </x:c>
    </x:row>
    <x:row r="12">
      <x:c r="A12" s="11" t="str">
        <x:v>Доход от доставки на заказ (₽)</x:v>
      </x:c>
      <x:c r="B12" s="68" t="n">
        <x:v>199</x:v>
      </x:c>
      <x:c r="C12" s="68" t="n">
        <x:v>249</x:v>
      </x:c>
      <x:c r="D12" s="69" t="n">
        <x:v>299</x:v>
      </x:c>
    </x:row>
    <x:row r="13">
      <x:c r="A13" s="11" t="str">
        <x:v>Курьерская / логистическая себестоимость на заказ (₽)</x:v>
      </x:c>
      <x:c r="B13" s="68" t="n">
        <x:v>175</x:v>
      </x:c>
      <x:c r="C13" s="68" t="n">
        <x:v>165</x:v>
      </x:c>
      <x:c r="D13" s="69" t="n">
        <x:v>155</x:v>
      </x:c>
    </x:row>
    <x:row r="14">
      <x:c r="A14" s="11" t="str">
        <x:v>Эквайринг на заказ (₽)</x:v>
      </x:c>
      <x:c r="B14" s="68" t="n">
        <x:v>33</x:v>
      </x:c>
      <x:c r="C14" s="68" t="n">
        <x:v>30</x:v>
      </x:c>
      <x:c r="D14" s="69" t="n">
        <x:v>28</x:v>
      </x:c>
    </x:row>
    <x:row r="15">
      <x:c r="A15" s="11" t="str">
        <x:v>Поддержка и операции на заказ (₽)</x:v>
      </x:c>
      <x:c r="B15" s="68" t="n">
        <x:v>25</x:v>
      </x:c>
      <x:c r="C15" s="68" t="n">
        <x:v>20</x:v>
      </x:c>
      <x:c r="D15" s="69" t="n">
        <x:v>18</x:v>
      </x:c>
    </x:row>
    <x:row r="16">
      <x:c r="A16" s="11" t="str">
        <x:v>Проверка рецепта / комплаенс на заказ (₽)</x:v>
      </x:c>
      <x:c r="B16" s="68" t="n">
        <x:v>12</x:v>
      </x:c>
      <x:c r="C16" s="68" t="n">
        <x:v>10</x:v>
      </x:c>
      <x:c r="D16" s="69" t="n">
        <x:v>8</x:v>
      </x:c>
    </x:row>
    <x:row r="17">
      <x:c r="A17" s="11" t="str">
        <x:v>Фиксированные затраты, год 1 (₽)</x:v>
      </x:c>
      <x:c r="B17" s="68" t="n">
        <x:v>300000000</x:v>
      </x:c>
      <x:c r="C17" s="68" t="n">
        <x:v>280000000</x:v>
      </x:c>
      <x:c r="D17" s="69" t="n">
        <x:v>260000000</x:v>
      </x:c>
    </x:row>
    <x:row r="18">
      <x:c r="A18" s="13" t="str">
        <x:v>Рост фиксированных затрат</x:v>
      </x:c>
      <x:c r="B18" s="72" t="n">
        <x:v>0.1</x:v>
      </x:c>
      <x:c r="C18" s="72" t="n">
        <x:v>0.08</x:v>
      </x:c>
      <x:c r="D18" s="73" t="n">
        <x:v>0.07</x:v>
      </x:c>
    </x:row>
    <x:row r="20">
      <x:c r="A20" s="9" t="str">
        <x:v>Принцип</x:v>
      </x:c>
      <x:c r="B20" s="74" t="str">
        <x:v>Все жёлтые ячейки — изменяемые допущения. Модель использует столбец выбранного сценария.</x:v>
      </x:c>
      <x:c r="C20" s="74"/>
      <x:c r="D20" s="10"/>
    </x:row>
    <x:row r="21">
      <x:c r="A21" s="11" t="str">
        <x:v>Источник обязательных драйверов</x:v>
      </x:c>
      <x:c r="B21" s="8" t="str">
        <x:v>Задание диплома: рост среднего чека +5% и количества заказов +10% со второго года; значение 3 млрд ₽ GMV в год 1 — из готовой презентации.</x:v>
      </x:c>
      <x:c r="C21" s="8"/>
      <x:c r="D21" s="12"/>
    </x:row>
    <x:row r="22">
      <x:c r="A22" s="11" t="str">
        <x:v>Неопределённость</x:v>
      </x:c>
      <x:c r="B22" s="8" t="str">
        <x:v>Комиссия, логистика, эквайринг, поддержка и fixed costs — учебные допущения для демонстрации механики, их надо заменить реальными данными при настоящем запуске.</x:v>
      </x:c>
      <x:c r="C22" s="8"/>
      <x:c r="D22" s="12"/>
    </x:row>
    <x:row r="23">
      <x:c r="A23" s="13" t="str">
        <x:v>Регуляторика</x:v>
      </x:c>
      <x:c r="B23" s="75" t="str">
        <x:v>Модель применима только после юридической проверки территории и схемы отпуска рецептурных препаратов.</x:v>
      </x:c>
      <x:c r="C23" s="75"/>
      <x:c r="D23" s="14"/>
    </x:row>
  </x:sheetData>
  <x:mergeCells>
    <x:mergeCell ref="A1:D1"/>
    <x:mergeCell ref="B20:D20"/>
    <x:mergeCell ref="B21:D21"/>
    <x:mergeCell ref="B22:D22"/>
    <x:mergeCell ref="B23:D23"/>
  </x:mergeCells>
  <x:pageMargins left="0.7" right="0.7" top="0.75" bottom="0.75" header="0.3" footer="0.3"/>
  <x:legacyDrawing xmlns:r="http://schemas.openxmlformats.org/officeDocument/2006/relationships" r:id="R7eaa7e55849146a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5" t="str">
        <x:v>Прогноз юнит-экономики — выбранный сценарий</x:v>
      </x:c>
      <x:c r="B1" s="55"/>
      <x:c r="C1" s="55"/>
      <x:c r="D1" s="55"/>
    </x:row>
    <x:row r="3">
      <x:c r="A3" s="62" t="str">
        <x:v>Показатель</x:v>
      </x:c>
      <x:c r="B3" s="63" t="str">
        <x:v>2026E</x:v>
      </x:c>
      <x:c r="C3" s="63" t="str">
        <x:v>2027E</x:v>
      </x:c>
      <x:c r="D3" s="64" t="str">
        <x:v>2028E</x:v>
      </x:c>
    </x:row>
    <x:row r="4">
      <x:c r="A4" s="20"/>
      <x:c r="B4" s="21"/>
      <x:c r="C4" s="21"/>
      <x:c r="D4" s="22"/>
    </x:row>
    <x:row r="5">
      <x:c r="A5" s="30" t="str">
        <x:v>Объём и GMV</x:v>
      </x:c>
      <x:c r="B5" s="6"/>
      <x:c r="C5" s="6"/>
      <x:c r="D5" s="76"/>
    </x:row>
    <x:row r="6">
      <x:c r="A6" s="20" t="str">
        <x:v>Количество заказов</x:v>
      </x:c>
      <x:c r="B6" s="77" t="n">
        <x:f>INDEX('Допущения'!$B$7:$D$7,1,'Допущения'!$B$3)/INDEX('Допущения'!$B$8:$D$8,1,'Допущения'!$B$3)</x:f>
        <x:v>1428571.4285714286</x:v>
      </x:c>
      <x:c r="C6" s="77" t="n">
        <x:f>B6*(1+INDEX('Допущения'!$B$9:$D$9,1,'Допущения'!$B$3))</x:f>
        <x:v>1571428.5714285716</x:v>
      </x:c>
      <x:c r="D6" s="78" t="n">
        <x:f>C6*(1+INDEX('Допущения'!$B$9:$D$9,1,'Допущения'!$B$3))</x:f>
        <x:v>1728571.4285714289</x:v>
      </x:c>
    </x:row>
    <x:row r="7">
      <x:c r="A7" s="20" t="str">
        <x:v>Средний чек, ₽</x:v>
      </x:c>
      <x:c r="B7" s="79" t="n">
        <x:f>INDEX('Допущения'!$B$8:$D$8,1,'Допущения'!$B$3)</x:f>
        <x:v>2100</x:v>
      </x:c>
      <x:c r="C7" s="79" t="n">
        <x:f>B7*(1+INDEX('Допущения'!$B$10:$D$10,1,'Допущения'!$B$3))</x:f>
        <x:v>2205</x:v>
      </x:c>
      <x:c r="D7" s="33" t="n">
        <x:f>C7*(1+INDEX('Допущения'!$B$10:$D$10,1,'Допущения'!$B$3))</x:f>
        <x:v>2315.25</x:v>
      </x:c>
    </x:row>
    <x:row r="8">
      <x:c r="A8" s="20" t="str">
        <x:v>GMV, ₽</x:v>
      </x:c>
      <x:c r="B8" s="79" t="n">
        <x:f>B6*B7</x:f>
        <x:v>3000000000</x:v>
      </x:c>
      <x:c r="C8" s="79" t="n">
        <x:f>C6*C7</x:f>
        <x:v>3465000000.0000005</x:v>
      </x:c>
      <x:c r="D8" s="33" t="n">
        <x:f>D6*D7</x:f>
        <x:v>4002075000.0000005</x:v>
      </x:c>
    </x:row>
    <x:row r="9">
      <x:c r="A9" s="20" t="str">
        <x:v>GMV, млн ₽</x:v>
      </x:c>
      <x:c r="B9" s="79" t="n">
        <x:f>B8/1000000</x:f>
        <x:v>3000</x:v>
      </x:c>
      <x:c r="C9" s="79" t="n">
        <x:f>C8/1000000</x:f>
        <x:v>3465.0000000000005</x:v>
      </x:c>
      <x:c r="D9" s="33" t="n">
        <x:f>D8/1000000</x:f>
        <x:v>4002.0750000000003</x:v>
      </x:c>
    </x:row>
    <x:row r="10">
      <x:c r="A10" s="20"/>
      <x:c r="B10" s="21"/>
      <x:c r="C10" s="21"/>
      <x:c r="D10" s="22"/>
    </x:row>
    <x:row r="11">
      <x:c r="A11" s="30" t="str">
        <x:v>Выручка</x:v>
      </x:c>
      <x:c r="B11" s="6"/>
      <x:c r="C11" s="6"/>
      <x:c r="D11" s="76"/>
    </x:row>
    <x:row r="12">
      <x:c r="A12" s="20" t="str">
        <x:v>Комиссия с аптек, ₽</x:v>
      </x:c>
      <x:c r="B12" s="79" t="n">
        <x:f>B8*INDEX('Допущения'!$B$11:$D$11,1,'Допущения'!$B$3)</x:f>
        <x:v>360000000</x:v>
      </x:c>
      <x:c r="C12" s="79" t="n">
        <x:f>C8*INDEX('Допущения'!$B$11:$D$11,1,'Допущения'!$B$3)</x:f>
        <x:v>415800000.00000006</x:v>
      </x:c>
      <x:c r="D12" s="33" t="n">
        <x:f>D8*INDEX('Допущения'!$B$11:$D$11,1,'Допущения'!$B$3)</x:f>
        <x:v>480249000.00000006</x:v>
      </x:c>
    </x:row>
    <x:row r="13">
      <x:c r="A13" s="20" t="str">
        <x:v>Доход от доставки, ₽</x:v>
      </x:c>
      <x:c r="B13" s="79" t="n">
        <x:f>B6*INDEX('Допущения'!$B$12:$D$12,1,'Допущения'!$B$3)</x:f>
        <x:v>355714285.71428573</x:v>
      </x:c>
      <x:c r="C13" s="79" t="n">
        <x:f>C6*INDEX('Допущения'!$B$12:$D$12,1,'Допущения'!$B$3)</x:f>
        <x:v>391285714.2857143</x:v>
      </x:c>
      <x:c r="D13" s="33" t="n">
        <x:f>D6*INDEX('Допущения'!$B$12:$D$12,1,'Допущения'!$B$3)</x:f>
        <x:v>430414285.7142858</x:v>
      </x:c>
    </x:row>
    <x:row r="14">
      <x:c r="A14" s="20" t="str">
        <x:v>Выручка, ₽</x:v>
      </x:c>
      <x:c r="B14" s="79" t="n">
        <x:f>SUM(B12:B13)</x:f>
        <x:v>715714285.7142857</x:v>
      </x:c>
      <x:c r="C14" s="79" t="n">
        <x:f>SUM(C12:C13)</x:f>
        <x:v>807085714.2857144</x:v>
      </x:c>
      <x:c r="D14" s="33" t="n">
        <x:f>SUM(D12:D13)</x:f>
        <x:v>910663285.7142859</x:v>
      </x:c>
    </x:row>
    <x:row r="15">
      <x:c r="A15" s="20"/>
      <x:c r="B15" s="79"/>
      <x:c r="C15" s="79"/>
      <x:c r="D15" s="33"/>
    </x:row>
    <x:row r="16">
      <x:c r="A16" s="30" t="str">
        <x:v>Затраты и EBITDA</x:v>
      </x:c>
      <x:c r="B16" s="80"/>
      <x:c r="C16" s="80"/>
      <x:c r="D16" s="81"/>
    </x:row>
    <x:row r="17">
      <x:c r="A17" s="20" t="str">
        <x:v>Переменные затраты на заказ, ₽</x:v>
      </x:c>
      <x:c r="B17" s="79" t="n">
        <x:f>SUM(INDEX('Допущения'!$B$13:$D$16,1,'Допущения'!$B$3),INDEX('Допущения'!$B$13:$D$16,2,'Допущения'!$B$3),INDEX('Допущения'!$B$13:$D$16,3,'Допущения'!$B$3),INDEX('Допущения'!$B$13:$D$16,4,'Допущения'!$B$3))</x:f>
        <x:v>225</x:v>
      </x:c>
      <x:c r="C17" s="79" t="n">
        <x:f>SUM(INDEX('Допущения'!$B$13:$D$16,1,'Допущения'!$B$3),INDEX('Допущения'!$B$13:$D$16,2,'Допущения'!$B$3),INDEX('Допущения'!$B$13:$D$16,3,'Допущения'!$B$3),INDEX('Допущения'!$B$13:$D$16,4,'Допущения'!$B$3))</x:f>
        <x:v>225</x:v>
      </x:c>
      <x:c r="D17" s="33" t="n">
        <x:f>SUM(INDEX('Допущения'!$B$13:$D$16,1,'Допущения'!$B$3),INDEX('Допущения'!$B$13:$D$16,2,'Допущения'!$B$3),INDEX('Допущения'!$B$13:$D$16,3,'Допущения'!$B$3),INDEX('Допущения'!$B$13:$D$16,4,'Допущения'!$B$3))</x:f>
        <x:v>225</x:v>
      </x:c>
    </x:row>
    <x:row r="18">
      <x:c r="A18" s="20" t="str">
        <x:v>Переменные затраты, ₽</x:v>
      </x:c>
      <x:c r="B18" s="79" t="n">
        <x:f>B6*B17</x:f>
        <x:v>321428571.42857146</x:v>
      </x:c>
      <x:c r="C18" s="79" t="n">
        <x:f>C6*C17</x:f>
        <x:v>353571428.5714286</x:v>
      </x:c>
      <x:c r="D18" s="33" t="n">
        <x:f>D6*D17</x:f>
        <x:v>388928571.4285715</x:v>
      </x:c>
    </x:row>
    <x:row r="19">
      <x:c r="A19" s="20" t="str">
        <x:v>Вклад в покрытие, ₽</x:v>
      </x:c>
      <x:c r="B19" s="79" t="n">
        <x:f>B14-B18</x:f>
        <x:v>394285714.28571427</x:v>
      </x:c>
      <x:c r="C19" s="79" t="n">
        <x:f>C14-C18</x:f>
        <x:v>453514285.7142858</x:v>
      </x:c>
      <x:c r="D19" s="33" t="n">
        <x:f>D14-D18</x:f>
        <x:v>521734714.2857143</x:v>
      </x:c>
    </x:row>
    <x:row r="20">
      <x:c r="A20" s="20" t="str">
        <x:v>Фиксированные затраты, ₽</x:v>
      </x:c>
      <x:c r="B20" s="79" t="n">
        <x:f>INDEX('Допущения'!$B$17:$D$17,1,'Допущения'!$B$3)</x:f>
        <x:v>280000000</x:v>
      </x:c>
      <x:c r="C20" s="79" t="n">
        <x:f>B20*(1+INDEX('Допущения'!$B$18:$D$18,1,'Допущения'!$B$3))</x:f>
        <x:v>302400000</x:v>
      </x:c>
      <x:c r="D20" s="33" t="n">
        <x:f>C20*(1+INDEX('Допущения'!$B$18:$D$18,1,'Допущения'!$B$3))</x:f>
        <x:v>326592000</x:v>
      </x:c>
    </x:row>
    <x:row r="21">
      <x:c r="A21" s="20" t="str">
        <x:v>EBITDA, ₽</x:v>
      </x:c>
      <x:c r="B21" s="79" t="n">
        <x:f>B19-B20</x:f>
        <x:v>114285714.28571427</x:v>
      </x:c>
      <x:c r="C21" s="79" t="n">
        <x:f>C19-C20</x:f>
        <x:v>151114285.7142858</x:v>
      </x:c>
      <x:c r="D21" s="33" t="n">
        <x:f>D19-D20</x:f>
        <x:v>195142714.28571433</x:v>
      </x:c>
    </x:row>
    <x:row r="22">
      <x:c r="A22" s="20" t="str">
        <x:v>EBITDA, млн ₽</x:v>
      </x:c>
      <x:c r="B22" s="79" t="n">
        <x:f>B21/1000000</x:f>
        <x:v>114.28571428571426</x:v>
      </x:c>
      <x:c r="C22" s="79" t="n">
        <x:f>C21/1000000</x:f>
        <x:v>151.11428571428578</x:v>
      </x:c>
      <x:c r="D22" s="33" t="n">
        <x:f>D21/1000000</x:f>
        <x:v>195.14271428571433</x:v>
      </x:c>
    </x:row>
    <x:row r="23">
      <x:c r="A23" s="20" t="str">
        <x:v>EBITDA margin</x:v>
      </x:c>
      <x:c r="B23" s="82" t="n">
        <x:f>B21/B14</x:f>
        <x:v>0.15968063872255486</x:v>
      </x:c>
      <x:c r="C23" s="82" t="n">
        <x:f>C21/C14</x:f>
        <x:v>0.1872344944774852</x:v>
      </x:c>
      <x:c r="D23" s="83" t="n">
        <x:f>D21/D14</x:f>
        <x:v>0.2142863529769432</x:v>
      </x:c>
    </x:row>
    <x:row r="24">
      <x:c r="A24" s="20"/>
      <x:c r="B24" s="21"/>
      <x:c r="C24" s="21"/>
      <x:c r="D24" s="22"/>
    </x:row>
    <x:row r="25">
      <x:c r="A25" s="30" t="str">
        <x:v>Проверки</x:v>
      </x:c>
      <x:c r="B25" s="6"/>
      <x:c r="C25" s="6"/>
      <x:c r="D25" s="76"/>
    </x:row>
    <x:row r="26">
      <x:c r="A26" s="30" t="str">
        <x:v>Выбранный сценарий</x:v>
      </x:c>
      <x:c r="B26" s="21" t="str">
        <x:f>IF(AND('Допущения'!B3&gt;=1,'Допущения'!B3&lt;=3),"OK","ПРОВЕРИТЬ")</x:f>
        <x:v>OK</x:v>
      </x:c>
      <x:c r="C26" s="21"/>
      <x:c r="D26" s="22"/>
    </x:row>
    <x:row r="27">
      <x:c r="A27" s="30" t="str">
        <x:v>Рост среднего чека (база)</x:v>
      </x:c>
      <x:c r="B27" s="21" t="str">
        <x:f>IF(INDEX('Допущения'!B10:D10,1,'Допущения'!B3)&gt;0,"OK","ПРОВЕРИТЬ")</x:f>
        <x:v>OK</x:v>
      </x:c>
      <x:c r="C27" s="21"/>
      <x:c r="D27" s="22"/>
    </x:row>
    <x:row r="28">
      <x:c r="A28" s="31" t="str">
        <x:v>Регуляторный допуск</x:v>
      </x:c>
      <x:c r="B28" s="24" t="str">
        <x:v>ПРОВЕРИТЬ ДО ПИЛОТА</x:v>
      </x:c>
      <x:c r="C28" s="24"/>
      <x:c r="D28" s="25"/>
    </x:row>
  </x:sheetData>
  <x:mergeCells>
    <x:mergeCell ref="A1:D1"/>
    <x:mergeCell ref="A5:D5"/>
    <x:mergeCell ref="A11:D11"/>
    <x:mergeCell ref="A16:D16"/>
    <x:mergeCell ref="A25:D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5" hidden="0" customWidth="1"/>
    <x:col min="4" max="4" width="55" hidden="0" customWidth="1"/>
    <x:col min="5" max="5" width="48" hidden="0" customWidth="1"/>
  </x:cols>
  <x:sheetData>
    <x:row r="1">
      <x:c r="A1" s="55" t="str">
        <x:v>Источники и ограничения модели</x:v>
      </x:c>
      <x:c r="B1" s="55"/>
      <x:c r="C1" s="55"/>
      <x:c r="D1" s="55"/>
      <x:c r="E1" s="55"/>
    </x:row>
    <x:row r="3">
      <x:c r="A3" s="85" t="str">
        <x:v>ID</x:v>
      </x:c>
      <x:c r="B3" s="86" t="str">
        <x:v>Источник</x:v>
      </x:c>
      <x:c r="C3" s="86" t="str">
        <x:v>Для чего используется</x:v>
      </x:c>
      <x:c r="D3" s="86" t="str">
        <x:v>Ссылка / путь</x:v>
      </x:c>
      <x:c r="E3" s="87" t="str">
        <x:v>Комментарий</x:v>
      </x:c>
    </x:row>
    <x:row r="4">
      <x:c r="A4" s="88" t="str">
        <x:v>S1</x:v>
      </x:c>
      <x:c r="B4" s="84" t="str">
        <x:v>Задание дипломной работы</x:v>
      </x:c>
      <x:c r="C4" s="84" t="str">
        <x:v>Требование расширить GMV на 3 года; со второго года: средний чек +5%, число заказов +10%.</x:v>
      </x:c>
      <x:c r="D4" s="84" t="str">
        <x:v>Дипломная работа.csv</x:v>
      </x:c>
      <x:c r="E4" s="89" t="str">
        <x:v>Первичный источник учебных требований.</x:v>
      </x:c>
    </x:row>
    <x:row r="5">
      <x:c r="A5" s="88" t="str">
        <x:v>S2</x:v>
      </x:c>
      <x:c r="B5" s="84" t="str">
        <x:v>Готовая дипломная презентация</x:v>
      </x:c>
      <x:c r="C5" s="84" t="str">
        <x:v>Базовый GMV первого года — 3 млрд ₽ в исходной презентации.</x:v>
      </x:c>
      <x:c r="D5" s="84" t="str">
        <x:v>Дипломная работа Тищенко.pptx, слайд 30</x:v>
      </x:c>
      <x:c r="E5" s="89" t="str">
        <x:v>Не является рыночной оценкой; используется как стартовая точка учебного кейса.</x:v>
      </x:c>
    </x:row>
    <x:row r="6">
      <x:c r="A6" s="88" t="str">
        <x:v>S3</x:v>
      </x:c>
      <x:c r="B6" s="84" t="str">
        <x:v>Росздравнадзор</x:v>
      </x:c>
      <x:c r="C6" s="84" t="str">
        <x:v>Регуляторное ограничение дистанционной торговли рецептурными препаратами.</x:v>
      </x:c>
      <x:c r="D6" s="84" t="str">
        <x:v>https://ns1.roszdravnadzor.gov.ru/drugs/distancetrade/nonprescription</x:v>
      </x:c>
      <x:c r="E6" s="89" t="str">
        <x:v>Ключевой риск: модель не подтверждает юридическую возможность запуска.</x:v>
      </x:c>
    </x:row>
    <x:row r="7">
      <x:c r="A7" s="90" t="str">
        <x:v>S4</x:v>
      </x:c>
      <x:c r="B7" s="91" t="str">
        <x:v>Минздрав: цифровой контур</x:v>
      </x:c>
      <x:c r="C7" s="91" t="str">
        <x:v>Контекст развития электронных медицинских документов и ЕГИСЗ.</x:v>
      </x:c>
      <x:c r="D7" s="91" t="str">
        <x:v>https://minzdrav.gov.ru/ministry/natsproektzdravoohranenie/tsifra</x:v>
      </x:c>
      <x:c r="E7" s="92" t="str">
        <x:v>Контекст, не источник финансовых коэффициентов.</x:v>
      </x:c>
    </x:row>
    <x:row r="9">
      <x:c r="A9" s="6" t="str">
        <x:v>Как использовать модель</x:v>
      </x:c>
      <x:c r="B9" s="6"/>
      <x:c r="C9" s="6"/>
      <x:c r="D9" s="6"/>
      <x:c r="E9" s="6"/>
    </x:row>
    <x:row r="10">
      <x:c r="A10" s="8" t="str">
        <x:v>1. На листе «Допущения» измените сценарий и/или жёлтые входные ячейки. 2. На листе «Модель» проверьте GMV, EBITDA и проверки. 3. Для презентации используйте только результаты, соответствующие юридически допустимому сценарию.</x:v>
      </x:c>
      <x:c r="B10" s="8"/>
      <x:c r="C10" s="8"/>
      <x:c r="D10" s="8"/>
      <x:c r="E10" s="8"/>
    </x:row>
  </x:sheetData>
  <x:mergeCells>
    <x:mergeCell ref="A1:E1"/>
    <x:mergeCell ref="A9:E9"/>
    <x:mergeCell ref="A10:E10"/>
    <x:mergeCell ref="A11:E11"/>
  </x:mergeCells>
  <x:pageMargins left="0.7" right="0.7" top="0.75" bottom="0.75" header="0.3" footer="0.3"/>
</x:worksheet>
</file>